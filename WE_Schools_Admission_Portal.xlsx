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326A581D-20F8-4EF7-A7BD-B014D6C594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pplications" sheetId="1" r:id="rId1"/>
    <sheet name="Statistics" sheetId="2" r:id="rId2"/>
    <sheet name="Search" sheetId="3" r:id="rId3"/>
    <sheet name="Documents" sheetId="4" r:id="rId4"/>
    <sheet name="Dashboard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G3" i="5"/>
  <c r="D3" i="5"/>
  <c r="E3" i="5" s="1"/>
  <c r="A9" i="2"/>
</calcChain>
</file>

<file path=xl/sharedStrings.xml><?xml version="1.0" encoding="utf-8"?>
<sst xmlns="http://schemas.openxmlformats.org/spreadsheetml/2006/main" count="91" uniqueCount="49">
  <si>
    <t>رقم الطلب</t>
  </si>
  <si>
    <t>اسم الطالب</t>
  </si>
  <si>
    <t>كود الطالب</t>
  </si>
  <si>
    <t>المدرسة السابقة</t>
  </si>
  <si>
    <t>رقم الطالب</t>
  </si>
  <si>
    <t>رقم ولي الأمر</t>
  </si>
  <si>
    <t>الحالة الاجتماعية</t>
  </si>
  <si>
    <t>حالة الطلب</t>
  </si>
  <si>
    <t>تاريخ التقديم</t>
  </si>
  <si>
    <t>الاسم بالإنجليزية</t>
  </si>
  <si>
    <t>تاريخ الميلاد</t>
  </si>
  <si>
    <t>الجنس</t>
  </si>
  <si>
    <t>الجنسية</t>
  </si>
  <si>
    <t>الديانة</t>
  </si>
  <si>
    <t>العنوان</t>
  </si>
  <si>
    <t>البريد الإلكتروني</t>
  </si>
  <si>
    <t>رقم بطاقة الطالب</t>
  </si>
  <si>
    <t>اسم ولي الأمر</t>
  </si>
  <si>
    <t>رقم بطاقة ولي الأمر</t>
  </si>
  <si>
    <t>بريد ولي الأمر</t>
  </si>
  <si>
    <t/>
  </si>
  <si>
    <t>الإحصائية</t>
  </si>
  <si>
    <t>القيمة</t>
  </si>
  <si>
    <t>إجمالي المتقدمين</t>
  </si>
  <si>
    <t>=COUNTA(Applications!A2:A1048576)</t>
  </si>
  <si>
    <t>عدد المقبولين</t>
  </si>
  <si>
    <t>=COUNTIF(Applications!H2:H1048576,"مقبول")</t>
  </si>
  <si>
    <t>عدد المرفوضين</t>
  </si>
  <si>
    <t>=COUNTIF(Applications!H2:H1048576,"مرفوض")</t>
  </si>
  <si>
    <t>قيد المراجعة</t>
  </si>
  <si>
    <t>=COUNTIF(Applications!H2:H1048576,"قيد المراجعة")</t>
  </si>
  <si>
    <t>الطلاب حسب المدرسة</t>
  </si>
  <si>
    <t>المدرسة</t>
  </si>
  <si>
    <t>العدد</t>
  </si>
  <si>
    <t>🔍 اكتب رقم الطلب / اسم الطالب / كود الطالب</t>
  </si>
  <si>
    <t>شهادة الميلاد</t>
  </si>
  <si>
    <t>بطاقة الطالب</t>
  </si>
  <si>
    <t>بطاقة ولي الأمر</t>
  </si>
  <si>
    <t>الصور الشخصية</t>
  </si>
  <si>
    <t>ملف التقديم</t>
  </si>
  <si>
    <t>المؤشر</t>
  </si>
  <si>
    <t>التاريخ</t>
  </si>
  <si>
    <t>عدد المتقدمين</t>
  </si>
  <si>
    <t>=Statistics!B2</t>
  </si>
  <si>
    <t>المقبولين</t>
  </si>
  <si>
    <t>=Statistics!B3</t>
  </si>
  <si>
    <t>المرفوضين</t>
  </si>
  <si>
    <t>=Statistics!B4</t>
  </si>
  <si>
    <t>=Statistics!B5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</si>
</sst>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E3A5F"/>
      <name val="Calibri"/>
    </font>
    <font>
      <b/>
      <sz val="14"/>
      <color rgb="FF1E7E1E"/>
      <name val="Calibri"/>
    </font>
    <font>
      <b/>
      <sz val="14"/>
      <color rgb="FFB82424"/>
      <name val="Calibri"/>
    </font>
    <font>
      <b/>
      <sz val="14"/>
      <color rgb="FFAB7F12"/>
      <name val="Calibri"/>
    </font>
    <font>
      <b/>
      <sz val="10"/>
      <color rgb="FF1E3A5F"/>
      <name val="Calibri"/>
    </font>
    <font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EDF2F9"/>
      </patternFill>
    </fill>
    <fill>
      <patternFill patternType="solid">
        <fgColor rgb="FFFFF9E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B82424"/>
      </font>
      <fill>
        <patternFill patternType="solid">
          <fgColor rgb="FFFBE4E4"/>
        </patternFill>
      </fill>
    </dxf>
    <dxf>
      <font>
        <color rgb="FF1E7E1E"/>
      </font>
      <fill>
        <patternFill patternType="solid">
          <fgColor rgb="FFE4F4E4"/>
        </patternFill>
      </fill>
    </dxf>
    <dxf>
      <font>
        <color rgb="FFAB7F12"/>
      </font>
      <fill>
        <patternFill patternType="solid">
          <fgColor rgb="FFFEF7DA"/>
        </patternFill>
      </fill>
    </dxf>
    <dxf>
      <font>
        <color rgb="FFB82424"/>
      </font>
      <fill>
        <patternFill patternType="solid">
          <fgColor rgb="FFFBE4E4"/>
        </patternFill>
      </fill>
    </dxf>
    <dxf>
      <font>
        <color rgb="FF1E7E1E"/>
      </font>
      <fill>
        <patternFill patternType="solid">
          <fgColor rgb="FFE4F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T2"/>
  <sheetViews>
    <sheetView tabSelected="1" topLeftCell="E1" zoomScale="6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2" customWidth="1"/>
    <col min="3" max="3" width="16" customWidth="1"/>
    <col min="4" max="4" width="24" customWidth="1"/>
    <col min="5" max="8" width="16" customWidth="1"/>
    <col min="9" max="9" width="18" customWidth="1"/>
    <col min="10" max="10" width="20" customWidth="1"/>
    <col min="11" max="11" width="14" customWidth="1"/>
    <col min="12" max="12" width="10" customWidth="1"/>
    <col min="13" max="13" width="14" customWidth="1"/>
    <col min="14" max="14" width="12" customWidth="1"/>
    <col min="15" max="15" width="28" customWidth="1"/>
    <col min="16" max="16" width="26" customWidth="1"/>
    <col min="17" max="17" width="18" customWidth="1"/>
    <col min="18" max="18" width="20" customWidth="1"/>
    <col min="19" max="19" width="18" customWidth="1"/>
    <col min="20" max="20" width="26" customWidth="1"/>
  </cols>
  <sheetData>
    <row r="1" spans="1:2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20</v>
      </c>
      <c r="C2" s="2" t="s">
        <v>20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</sheetData>
  <conditionalFormatting sqref="H2:H1048576">
    <cfRule type="expression" dxfId="4" priority="1">
      <formula>H2="مقبول"</formula>
    </cfRule>
    <cfRule type="expression" dxfId="3" priority="2">
      <formula>H2="مرفوض"</formula>
    </cfRule>
    <cfRule type="expression" dxfId="2" priority="3">
      <formula>H2="قيد المراجعة"</formula>
    </cfRule>
  </conditionalFormatting>
  <dataValidations count="2">
    <dataValidation type="list" allowBlank="1" sqref="G2" xr:uid="{00000000-0002-0000-0000-000000000000}">
      <formula1>"أعزب,متزوج"</formula1>
    </dataValidation>
    <dataValidation type="list" allowBlank="1" sqref="H2" xr:uid="{00000000-0002-0000-0000-000001000000}">
      <formula1>"قيد المراجعة,مقبول,مرفوض"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52E"/>
  </sheetPr>
  <dimension ref="A1:B9"/>
  <sheetViews>
    <sheetView topLeftCell="A3" zoomScale="96" zoomScaleNormal="96" workbookViewId="0">
      <selection activeCell="A9" sqref="A9"/>
    </sheetView>
  </sheetViews>
  <sheetFormatPr defaultRowHeight="15" x14ac:dyDescent="0.25"/>
  <cols>
    <col min="1" max="1" width="30" customWidth="1"/>
    <col min="2" max="2" width="16" customWidth="1"/>
  </cols>
  <sheetData>
    <row r="1" spans="1:2" ht="30" customHeight="1" x14ac:dyDescent="0.25">
      <c r="A1" s="1" t="s">
        <v>21</v>
      </c>
      <c r="B1" s="1" t="s">
        <v>22</v>
      </c>
    </row>
    <row r="2" spans="1:2" ht="84" x14ac:dyDescent="0.25">
      <c r="A2" s="2" t="s">
        <v>23</v>
      </c>
      <c r="B2" s="3" t="s">
        <v>24</v>
      </c>
    </row>
    <row r="3" spans="1:2" ht="75" x14ac:dyDescent="0.25">
      <c r="A3" s="4" t="s">
        <v>25</v>
      </c>
      <c r="B3" s="5" t="s">
        <v>26</v>
      </c>
    </row>
    <row r="4" spans="1:2" ht="75" x14ac:dyDescent="0.25">
      <c r="A4" s="2" t="s">
        <v>27</v>
      </c>
      <c r="B4" s="6" t="s">
        <v>28</v>
      </c>
    </row>
    <row r="5" spans="1:2" ht="93.75" x14ac:dyDescent="0.25">
      <c r="A5" s="4" t="s">
        <v>29</v>
      </c>
      <c r="B5" s="7" t="s">
        <v>30</v>
      </c>
    </row>
    <row r="7" spans="1:2" x14ac:dyDescent="0.25">
      <c r="A7" s="4" t="s">
        <v>31</v>
      </c>
    </row>
    <row r="8" spans="1:2" x14ac:dyDescent="0.25">
      <c r="A8" s="2" t="s">
        <v>32</v>
      </c>
      <c r="B8" s="2" t="s">
        <v>33</v>
      </c>
    </row>
    <row r="9" spans="1:2" x14ac:dyDescent="0.25">
      <c r="A9" s="8" t="e">
        <f ca="1">QUERY(Applications!D2:D1048576,"select D,count(D) where D is not null group by D order by count(D) desc label D 'المدرسة', count(D) 'العدد'")</f>
        <v>#NAME?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5A8E"/>
  </sheetPr>
  <dimension ref="A1:I3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39.42578125" customWidth="1"/>
    <col min="2" max="2" width="22" customWidth="1"/>
    <col min="3" max="3" width="16" customWidth="1"/>
    <col min="4" max="4" width="24" customWidth="1"/>
    <col min="5" max="8" width="16" customWidth="1"/>
    <col min="9" max="9" width="18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25">
      <c r="A2" s="9" t="s">
        <v>34</v>
      </c>
      <c r="B2" s="10" t="s">
        <v>20</v>
      </c>
    </row>
    <row r="3" spans="1:9" x14ac:dyDescent="0.25">
      <c r="A3" s="2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E1E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2" customWidth="1"/>
    <col min="3" max="5" width="16" customWidth="1"/>
    <col min="6" max="7" width="14" customWidth="1"/>
  </cols>
  <sheetData>
    <row r="1" spans="1:7" ht="30" customHeight="1" x14ac:dyDescent="0.2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</sheetData>
  <conditionalFormatting sqref="C2:G1048576">
    <cfRule type="expression" dxfId="1" priority="1">
      <formula>C2="تم التسليم"</formula>
    </cfRule>
    <cfRule type="expression" dxfId="0" priority="2">
      <formula>C2="غير مسلم"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5CF6"/>
  </sheetPr>
  <dimension ref="A1:H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4" customWidth="1"/>
    <col min="4" max="4" width="14" customWidth="1"/>
    <col min="5" max="5" width="16" customWidth="1"/>
    <col min="6" max="6" width="4" customWidth="1"/>
    <col min="7" max="7" width="22" customWidth="1"/>
    <col min="8" max="8" width="12" customWidth="1"/>
  </cols>
  <sheetData>
    <row r="1" spans="1:8" ht="30" customHeight="1" x14ac:dyDescent="0.25">
      <c r="A1" s="1" t="s">
        <v>40</v>
      </c>
      <c r="B1" s="1" t="s">
        <v>22</v>
      </c>
      <c r="C1" s="1" t="s">
        <v>20</v>
      </c>
      <c r="D1" s="1" t="s">
        <v>41</v>
      </c>
      <c r="E1" s="1" t="s">
        <v>42</v>
      </c>
      <c r="F1" s="1" t="s">
        <v>20</v>
      </c>
      <c r="G1" s="1" t="s">
        <v>32</v>
      </c>
      <c r="H1" s="1" t="s">
        <v>33</v>
      </c>
    </row>
    <row r="2" spans="1:8" x14ac:dyDescent="0.25">
      <c r="A2" s="2" t="s">
        <v>23</v>
      </c>
      <c r="B2" s="2" t="s">
        <v>43</v>
      </c>
      <c r="D2" s="11" t="s">
        <v>41</v>
      </c>
      <c r="E2" s="11" t="s">
        <v>42</v>
      </c>
      <c r="G2" s="11" t="s">
        <v>32</v>
      </c>
      <c r="H2" s="11" t="s">
        <v>33</v>
      </c>
    </row>
    <row r="3" spans="1:8" x14ac:dyDescent="0.25">
      <c r="A3" s="4" t="s">
        <v>44</v>
      </c>
      <c r="B3" s="4" t="s">
        <v>45</v>
      </c>
      <c r="D3" t="e">
        <f ca="1">_xludf.UNIQUE(Applications!I2:I1048576)</f>
        <v>#NAME?</v>
      </c>
      <c r="E3" t="e">
        <f ca="1">IF(D3="","",COUNTIF(Applications!I2:I1048576,D3))</f>
        <v>#NAME?</v>
      </c>
      <c r="G3" t="e">
        <f>Statistics!A9:A</f>
        <v>#NAME?</v>
      </c>
      <c r="H3" t="e">
        <f>Statistics!B9:B</f>
        <v>#NAME?</v>
      </c>
    </row>
    <row r="4" spans="1:8" x14ac:dyDescent="0.25">
      <c r="A4" s="2" t="s">
        <v>46</v>
      </c>
      <c r="B4" s="2" t="s">
        <v>47</v>
      </c>
    </row>
    <row r="5" spans="1:8" x14ac:dyDescent="0.25">
      <c r="A5" s="4" t="s">
        <v>29</v>
      </c>
      <c r="B5" s="4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Applications</vt:lpstr>
      <vt:lpstr>Statistics</vt:lpstr>
      <vt:lpstr>Search</vt:lpstr>
      <vt:lpstr>Documents</vt:lpstr>
      <vt:lpstr>Dashboard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2026-06-29T10:51:50Z</dcterms:created>
  <dcterms:modified xsi:type="dcterms:W3CDTF">2026-06-29T11:02:18Z</dcterms:modified>
  <cp:category/>
</cp:coreProperties>
</file>