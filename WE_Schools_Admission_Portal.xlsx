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pplications" state="visible" r:id="rId4"/>
    <sheet sheetId="2" name="Statistics" state="visible" r:id="rId5"/>
    <sheet sheetId="3" name="Search" state="visible" r:id="rId6"/>
    <sheet sheetId="4" name="Documents" state="visible" r:id="rId7"/>
    <sheet sheetId="5" name="Dashboard" state="visible" r:id="rId8"/>
  </sheets>
  <calcPr calcId="171027"/>
</workbook>
</file>

<file path=xl/sharedStrings.xml><?xml version="1.0" encoding="utf-8"?>
<sst xmlns="http://schemas.openxmlformats.org/spreadsheetml/2006/main" count="91" uniqueCount="49">
  <si>
    <t>رقم الطلب</t>
  </si>
  <si>
    <t>اسم الطالب</t>
  </si>
  <si>
    <t>كود الطالب</t>
  </si>
  <si>
    <t>المدرسة السابقة</t>
  </si>
  <si>
    <t>رقم الطالب</t>
  </si>
  <si>
    <t>رقم ولي الأمر</t>
  </si>
  <si>
    <t>الحالة الاجتماعية</t>
  </si>
  <si>
    <t>حالة الطلب</t>
  </si>
  <si>
    <t>تاريخ التقديم</t>
  </si>
  <si>
    <t>الاسم بالإنجليزية</t>
  </si>
  <si>
    <t>تاريخ الميلاد</t>
  </si>
  <si>
    <t>الجنس</t>
  </si>
  <si>
    <t>الجنسية</t>
  </si>
  <si>
    <t>الديانة</t>
  </si>
  <si>
    <t>العنوان</t>
  </si>
  <si>
    <t>البريد الإلكتروني</t>
  </si>
  <si>
    <t>رقم بطاقة الطالب</t>
  </si>
  <si>
    <t>اسم ولي الأمر</t>
  </si>
  <si>
    <t>رقم بطاقة ولي الأمر</t>
  </si>
  <si>
    <t>بريد ولي الأمر</t>
  </si>
  <si>
    <t/>
  </si>
  <si>
    <t>الإحصائية</t>
  </si>
  <si>
    <t>القيمة</t>
  </si>
  <si>
    <t>إجمالي المتقدمين</t>
  </si>
  <si>
    <t>=COUNTA(Applications!A2:A1048576)</t>
  </si>
  <si>
    <t>عدد المقبولين</t>
  </si>
  <si>
    <t>=COUNTIF(Applications!H2:H1048576,"مقبول")</t>
  </si>
  <si>
    <t>عدد المرفوضين</t>
  </si>
  <si>
    <t>=COUNTIF(Applications!H2:H1048576,"مرفوض")</t>
  </si>
  <si>
    <t>قيد المراجعة</t>
  </si>
  <si>
    <t>=COUNTIF(Applications!H2:H1048576,"قيد المراجعة")</t>
  </si>
  <si>
    <t>الطلاب حسب المدرسة</t>
  </si>
  <si>
    <t>المدرسة</t>
  </si>
  <si>
    <t>العدد</t>
  </si>
  <si>
    <t>🔍 اكتب رقم الطلب / اسم الطالب / كود الطالب</t>
  </si>
  <si>
    <t>شهادة الميلاد</t>
  </si>
  <si>
    <t>بطاقة الطالب</t>
  </si>
  <si>
    <t>بطاقة ولي الأمر</t>
  </si>
  <si>
    <t>الصور الشخصية</t>
  </si>
  <si>
    <t>ملف التقديم</t>
  </si>
  <si>
    <t>المؤشر</t>
  </si>
  <si>
    <t>التاريخ</t>
  </si>
  <si>
    <t>عدد المتقدمين</t>
  </si>
  <si>
    <t>=Statistics!B2</t>
  </si>
  <si>
    <t>المقبولين</t>
  </si>
  <si>
    <t>=Statistics!B3</t>
  </si>
  <si>
    <t>المرفوضين</t>
  </si>
  <si>
    <t>=Statistics!B4</t>
  </si>
  <si>
    <t>=Statistics!B5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</si>
</sst>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b/>
      <color rgb="1E3A5F"/>
      <sz val="16"/>
    </font>
    <font>
      <b/>
      <color rgb="1E7E1E"/>
      <sz val="14"/>
    </font>
    <font>
      <b/>
      <color rgb="B82424"/>
      <sz val="14"/>
    </font>
    <font>
      <b/>
      <color rgb="AB7F12"/>
      <sz val="14"/>
    </font>
    <font>
      <b/>
      <color rgb="1E3A5F"/>
      <sz val="10"/>
    </font>
    <font>
      <sz val="12"/>
    </font>
  </fonts>
  <fills count="7">
    <fill>
      <patternFill patternType="none"/>
    </fill>
    <fill>
      <patternFill patternType="gray125"/>
    </fill>
    <fill>
      <patternFill patternType="solid">
        <fgColor rgb="1E3A5F"/>
      </patternFill>
    </fill>
    <fill>
      <patternFill patternType="solid">
        <fgColor rgb="F4F6F9"/>
      </patternFill>
    </fill>
    <fill>
      <patternFill patternType="solid">
        <fgColor rgb="FFFFFF"/>
      </patternFill>
    </fill>
    <fill>
      <patternFill patternType="solid">
        <fgColor rgb="EDF2F9"/>
      </patternFill>
    </fill>
    <fill>
      <patternFill patternType="solid">
        <fgColor rgb="FFF9E0"/>
      </patternFill>
    </fill>
  </fills>
  <borders count="2">
    <border>
      <left/>
      <right/>
      <top/>
      <bottom/>
      <diagonal/>
    </border>
    <border>
      <left style="thin">
        <color rgb="D0D5DD"/>
      </left>
      <right style="thin">
        <color rgb="D0D5DD"/>
      </right>
      <top style="thin">
        <color rgb="D0D5DD"/>
      </top>
      <bottom style="thin">
        <color rgb="D0D5DD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3"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  <dxf>
      <font>
        <color rgb="AB7F12"/>
      </font>
      <fill>
        <patternFill patternType="solid">
          <fgColor rgb="FEF7DA"/>
        </patternFill>
      </fill>
    </dxf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  <dxf>
      <font>
        <color rgb="1E7E1E"/>
      </font>
      <fill>
        <patternFill patternType="solid">
          <fgColor rgb="E4F4E4"/>
        </patternFill>
      </fill>
    </dxf>
    <dxf>
      <font>
        <color rgb="B82424"/>
      </font>
      <fill>
        <patternFill patternType="solid">
          <fgColor rgb="FB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3A5F"/>
  </sheetPr>
  <dimension ref="A1:T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16" customWidth="1"/>
    <col min="4" max="4" width="24" customWidth="1"/>
    <col min="5" max="8" width="16" customWidth="1"/>
    <col min="9" max="9" width="18" customWidth="1"/>
    <col min="10" max="10" width="20" customWidth="1"/>
    <col min="11" max="11" width="14" customWidth="1"/>
    <col min="12" max="12" width="10" customWidth="1"/>
    <col min="13" max="13" width="14" customWidth="1"/>
    <col min="14" max="14" width="12" customWidth="1"/>
    <col min="15" max="15" width="28" customWidth="1"/>
    <col min="16" max="16" width="26" customWidth="1"/>
    <col min="17" max="17" width="18" customWidth="1"/>
    <col min="18" max="18" width="20" customWidth="1"/>
    <col min="19" max="19" width="18" customWidth="1"/>
    <col min="20" max="20" width="26" customWidth="1"/>
  </cols>
  <sheetData>
    <row r="1" ht="30" customHeight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 t="s">
        <v>20</v>
      </c>
      <c r="B2" s="2" t="s">
        <v>20</v>
      </c>
      <c r="C2" s="2" t="s">
        <v>20</v>
      </c>
      <c r="D2" s="2" t="s">
        <v>20</v>
      </c>
      <c r="E2" s="2" t="s">
        <v>20</v>
      </c>
      <c r="F2" s="2" t="s">
        <v>20</v>
      </c>
      <c r="G2" s="2" t="s">
        <v>20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20</v>
      </c>
      <c r="M2" s="2" t="s">
        <v>20</v>
      </c>
      <c r="N2" s="2" t="s">
        <v>20</v>
      </c>
      <c r="O2" s="2" t="s">
        <v>20</v>
      </c>
      <c r="P2" s="2" t="s">
        <v>20</v>
      </c>
      <c r="Q2" s="2" t="s">
        <v>20</v>
      </c>
      <c r="R2" s="2" t="s">
        <v>20</v>
      </c>
      <c r="S2" s="2" t="s">
        <v>20</v>
      </c>
      <c r="T2" s="2" t="s">
        <v>20</v>
      </c>
    </row>
  </sheetData>
  <conditionalFormatting sqref="H2:H1048576">
    <cfRule type="expression" dxfId="0" priority="1">
      <formula>H2="مقبول"</formula>
    </cfRule>
    <cfRule type="expression" dxfId="1" priority="2">
      <formula>H2="مرفوض"</formula>
    </cfRule>
    <cfRule type="expression" dxfId="2" priority="3">
      <formula>H2="قيد المراجعة"</formula>
    </cfRule>
  </conditionalFormatting>
  <dataValidations count="2">
    <dataValidation type="list" allowBlank="1" sqref="G2">
      <formula1>"أعزب,متزوج"</formula1>
    </dataValidation>
    <dataValidation type="list" allowBlank="1" sqref="H2">
      <formula1>"قيد المراجعة,مقبول,مرفوض"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C8952E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</cols>
  <sheetData>
    <row r="1" ht="30" customHeight="1" spans="1:2" x14ac:dyDescent="0.25">
      <c r="A1" s="1" t="s">
        <v>21</v>
      </c>
      <c r="B1" s="1" t="s">
        <v>22</v>
      </c>
    </row>
    <row r="2" spans="1:2" x14ac:dyDescent="0.25">
      <c r="A2" s="2" t="s">
        <v>23</v>
      </c>
      <c r="B2" s="3" t="s">
        <v>24</v>
      </c>
    </row>
    <row r="3" spans="1:2" x14ac:dyDescent="0.25">
      <c r="A3" s="4" t="s">
        <v>25</v>
      </c>
      <c r="B3" s="5" t="s">
        <v>26</v>
      </c>
    </row>
    <row r="4" spans="1:2" x14ac:dyDescent="0.25">
      <c r="A4" s="2" t="s">
        <v>27</v>
      </c>
      <c r="B4" s="6" t="s">
        <v>28</v>
      </c>
    </row>
    <row r="5" spans="1:2" x14ac:dyDescent="0.25">
      <c r="A5" s="4" t="s">
        <v>29</v>
      </c>
      <c r="B5" s="7" t="s">
        <v>30</v>
      </c>
    </row>
    <row r="7" spans="1:1" x14ac:dyDescent="0.25">
      <c r="A7" s="4" t="s">
        <v>31</v>
      </c>
    </row>
    <row r="8" spans="1:2" x14ac:dyDescent="0.25">
      <c r="A8" s="2" t="s">
        <v>32</v>
      </c>
      <c r="B8" s="2" t="s">
        <v>33</v>
      </c>
    </row>
    <row r="9" spans="1:1" x14ac:dyDescent="0.25">
      <c r="A9" s="8">
        <f>QUERY(Applications!D2:D1048576,"select D,count(D) where D is not null group by D order by count(D) desc label D 'المدرسة', count(D) 'العدد'")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2D5A8E"/>
  </sheetPr>
  <dimension ref="A1:I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16" customWidth="1"/>
    <col min="4" max="4" width="24" customWidth="1"/>
    <col min="5" max="8" width="16" customWidth="1"/>
    <col min="9" max="9" width="18" customWidth="1"/>
  </cols>
  <sheetData>
    <row r="1" ht="3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30" customHeight="1" spans="1:2" x14ac:dyDescent="0.25">
      <c r="A2" s="9" t="s">
        <v>34</v>
      </c>
      <c r="B2" s="10" t="s">
        <v>20</v>
      </c>
    </row>
    <row r="3" spans="1:1" x14ac:dyDescent="0.25">
      <c r="A3" s="2">
        <f>IFERROR(FILTER(Applications!A:I, (Applications!A:A=B2)+(Applications!B:B=B2)+(Applications!C:C=B2)), "ابحث بالرقم أو الاسم أو الكود في الخلية B2")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7E1E"/>
  </sheetPr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5" width="16" customWidth="1"/>
    <col min="6" max="7" width="14" customWidth="1"/>
  </cols>
  <sheetData>
    <row r="1" ht="30" customHeight="1" spans="1:7" x14ac:dyDescent="0.25">
      <c r="A1" s="1" t="s">
        <v>0</v>
      </c>
      <c r="B1" s="1" t="s">
        <v>1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</row>
  </sheetData>
  <conditionalFormatting sqref="C2:C1048576">
    <cfRule type="expression" dxfId="3" priority="1">
      <formula>C2="تم التسليم"</formula>
    </cfRule>
    <cfRule type="expression" dxfId="4" priority="2">
      <formula>C2="غير مسلم"</formula>
    </cfRule>
  </conditionalFormatting>
  <conditionalFormatting sqref="D2:D1048576">
    <cfRule type="expression" dxfId="5" priority="3">
      <formula>D2="تم التسليم"</formula>
    </cfRule>
    <cfRule type="expression" dxfId="6" priority="4">
      <formula>D2="غير مسلم"</formula>
    </cfRule>
  </conditionalFormatting>
  <conditionalFormatting sqref="E2:E1048576">
    <cfRule type="expression" dxfId="7" priority="5">
      <formula>E2="تم التسليم"</formula>
    </cfRule>
    <cfRule type="expression" dxfId="8" priority="6">
      <formula>E2="غير مسلم"</formula>
    </cfRule>
  </conditionalFormatting>
  <conditionalFormatting sqref="F2:F1048576">
    <cfRule type="expression" dxfId="9" priority="7">
      <formula>F2="تم التسليم"</formula>
    </cfRule>
    <cfRule type="expression" dxfId="10" priority="8">
      <formula>F2="غير مسلم"</formula>
    </cfRule>
  </conditionalFormatting>
  <conditionalFormatting sqref="G2:G1048576">
    <cfRule type="expression" dxfId="11" priority="9">
      <formula>G2="تم التسليم"</formula>
    </cfRule>
    <cfRule type="expression" dxfId="12" priority="10">
      <formula>G2="غير مسلم"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8B5CF6"/>
  </sheetPr>
  <dimension ref="A1:H5"/>
  <sheetFormatPr defaultRowHeight="15" outlineLevelRow="0" outlineLevelCol="0" x14ac:dyDescent="55"/>
  <cols>
    <col min="1" max="1" width="24" customWidth="1"/>
    <col min="2" max="2" width="14" customWidth="1"/>
    <col min="3" max="3" width="4" customWidth="1"/>
    <col min="4" max="4" width="14" customWidth="1"/>
    <col min="5" max="5" width="16" customWidth="1"/>
    <col min="6" max="6" width="4" customWidth="1"/>
    <col min="7" max="7" width="22" customWidth="1"/>
    <col min="8" max="8" width="12" customWidth="1"/>
  </cols>
  <sheetData>
    <row r="1" ht="30" customHeight="1" spans="1:8" x14ac:dyDescent="0.25">
      <c r="A1" s="1" t="s">
        <v>40</v>
      </c>
      <c r="B1" s="1" t="s">
        <v>22</v>
      </c>
      <c r="C1" s="1" t="s">
        <v>20</v>
      </c>
      <c r="D1" s="1" t="s">
        <v>41</v>
      </c>
      <c r="E1" s="1" t="s">
        <v>42</v>
      </c>
      <c r="F1" s="1" t="s">
        <v>20</v>
      </c>
      <c r="G1" s="1" t="s">
        <v>32</v>
      </c>
      <c r="H1" s="1" t="s">
        <v>33</v>
      </c>
    </row>
    <row r="2" spans="1:8" x14ac:dyDescent="0.25">
      <c r="A2" s="2" t="s">
        <v>23</v>
      </c>
      <c r="B2" s="2" t="s">
        <v>43</v>
      </c>
      <c r="D2" s="11" t="s">
        <v>41</v>
      </c>
      <c r="E2" s="11" t="s">
        <v>42</v>
      </c>
      <c r="G2" s="11" t="s">
        <v>32</v>
      </c>
      <c r="H2" s="11" t="s">
        <v>33</v>
      </c>
    </row>
    <row r="3" spans="1:8" x14ac:dyDescent="0.25">
      <c r="A3" s="4" t="s">
        <v>44</v>
      </c>
      <c r="B3" s="4" t="s">
        <v>45</v>
      </c>
      <c r="D3">
        <f>UNIQUE(Applications!I2:I1048576)</f>
      </c>
      <c r="E3">
        <f>IF(D3="","",COUNTIF(Applications!I2:I1048576,D3))</f>
      </c>
      <c r="G3">
        <f>Statistics!A9:A</f>
      </c>
      <c r="H3">
        <f>Statistics!B9:B</f>
      </c>
    </row>
    <row r="4" spans="1:2" x14ac:dyDescent="0.25">
      <c r="A4" s="2" t="s">
        <v>46</v>
      </c>
      <c r="B4" s="2" t="s">
        <v>47</v>
      </c>
    </row>
    <row r="5" spans="1:2" x14ac:dyDescent="0.25">
      <c r="A5" s="4" t="s">
        <v>29</v>
      </c>
      <c r="B5" s="4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Applications</vt:lpstr>
      <vt:lpstr>Statistics</vt:lpstr>
      <vt:lpstr>Search</vt:lpstr>
      <vt:lpstr>Documents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 Schools</dc:creator>
  <dc:title/>
  <dc:subject/>
  <dc:description/>
  <cp:keywords/>
  <cp:category/>
  <cp:lastModifiedBy>Unknown</cp:lastModifiedBy>
  <dcterms:created xsi:type="dcterms:W3CDTF">2026-06-29T10:51:50Z</dcterms:created>
  <dcterms:modified xsi:type="dcterms:W3CDTF">2026-06-29T10:51:50Z</dcterms:modified>
</cp:coreProperties>
</file>