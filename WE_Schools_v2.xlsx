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Statistics" state="visible" r:id="rId5"/>
    <sheet sheetId="3" name="Search" state="visible" r:id="rId6"/>
    <sheet sheetId="4" name="Documents" state="visible" r:id="rId7"/>
    <sheet sheetId="5" name="Dashboard" state="visible" r:id="rId8"/>
  </sheets>
  <calcPr calcId="171027"/>
</workbook>
</file>

<file path=xl/sharedStrings.xml><?xml version="1.0" encoding="utf-8"?>
<sst xmlns="http://schemas.openxmlformats.org/spreadsheetml/2006/main" count="145" uniqueCount="72">
  <si>
    <t>رقم الطلب</t>
  </si>
  <si>
    <t>اسم الطالب</t>
  </si>
  <si>
    <t>كود الطالب</t>
  </si>
  <si>
    <t>المدرسة السابقة</t>
  </si>
  <si>
    <t>الصف الدراسي السابق</t>
  </si>
  <si>
    <t>المحافظة</t>
  </si>
  <si>
    <t>المركز / المدينة</t>
  </si>
  <si>
    <t>رقم الطالب</t>
  </si>
  <si>
    <t>رقم ولي الأمر</t>
  </si>
  <si>
    <t>الحالة الاجتماعية</t>
  </si>
  <si>
    <t>حالة الطلب</t>
  </si>
  <si>
    <t>تاريخ التقديم</t>
  </si>
  <si>
    <t>وقت آخر تعديل</t>
  </si>
  <si>
    <t>الاسم بالإنجليزية</t>
  </si>
  <si>
    <t>تاريخ الميلاد</t>
  </si>
  <si>
    <t>الجنس</t>
  </si>
  <si>
    <t>الجنسية</t>
  </si>
  <si>
    <t>الديانة</t>
  </si>
  <si>
    <t>مهنة الأب</t>
  </si>
  <si>
    <t>مهنة الأم</t>
  </si>
  <si>
    <t>العنوان</t>
  </si>
  <si>
    <t>البريد الإلكتروني</t>
  </si>
  <si>
    <t>رقم بطاقة الطالب</t>
  </si>
  <si>
    <t>اسم ولي الأمر</t>
  </si>
  <si>
    <t>رقم بطاقة ولي الأمر</t>
  </si>
  <si>
    <t>بريد ولي الأمر</t>
  </si>
  <si>
    <t/>
  </si>
  <si>
    <t>الإحصائية</t>
  </si>
  <si>
    <t>القيمة</t>
  </si>
  <si>
    <t>إجمالي المتقدمين</t>
  </si>
  <si>
    <t>=COUNTA(Applications!A2:A1048576)</t>
  </si>
  <si>
    <t>عدد المقبولين</t>
  </si>
  <si>
    <t>=COUNTIF(K2:K1048576,"مقبول")</t>
  </si>
  <si>
    <t>عدد المرفوضين</t>
  </si>
  <si>
    <t>=COUNTIF(K2:K1048576,"مرفوض")</t>
  </si>
  <si>
    <t>قيد المراجعة</t>
  </si>
  <si>
    <t>=COUNTIF(K2:K1048576,"قيد المراجعة")</t>
  </si>
  <si>
    <t>ناقص مستندات</t>
  </si>
  <si>
    <t>=COUNTIF(K2:K1048576,"ناقص مستندات")</t>
  </si>
  <si>
    <t>بانتظار التواصل</t>
  </si>
  <si>
    <t>=COUNTIF(K2:K1048576,"بانتظار التواصل")</t>
  </si>
  <si>
    <t>الطلاب حسب المحافظة</t>
  </si>
  <si>
    <t>العدد</t>
  </si>
  <si>
    <t>الطلاب حسب المدرسة</t>
  </si>
  <si>
    <t>🔍 اكتب رقم الطلب / اسم الطالب / كود الطالب</t>
  </si>
  <si>
    <t>شهادة الميلاد</t>
  </si>
  <si>
    <t>بطاقة الطالب</t>
  </si>
  <si>
    <t>بطاقة ولي الأمر</t>
  </si>
  <si>
    <t>الصور الشخصية</t>
  </si>
  <si>
    <t>ملف التقديم</t>
  </si>
  <si>
    <t>المؤشر</t>
  </si>
  <si>
    <t>التاريخ</t>
  </si>
  <si>
    <t>عدد المتقدمين</t>
  </si>
  <si>
    <t>المدرسة</t>
  </si>
  <si>
    <t>الأسبوع</t>
  </si>
  <si>
    <t>المتقدمين</t>
  </si>
  <si>
    <t>📋 إجمالي الطلبات</t>
  </si>
  <si>
    <t>=Statistics!B2</t>
  </si>
  <si>
    <t>📊 مؤشرات الأداء</t>
  </si>
  <si>
    <t>🟢 المقبولين</t>
  </si>
  <si>
    <t>=Statistics!B3</t>
  </si>
  <si>
    <t>آخر تسجيل</t>
  </si>
  <si>
    <t>🔴 المرفوضين</t>
  </si>
  <si>
    <t>=Statistics!B4</t>
  </si>
  <si>
    <t>أول تسجيل</t>
  </si>
  <si>
    <t>🟡 تحت المراجعة</t>
  </si>
  <si>
    <t>=Statistics!B5</t>
  </si>
  <si>
    <t>متوسط التسجيل يوميًا</t>
  </si>
  <si>
    <t>🟠 ناقص مستندات</t>
  </si>
  <si>
    <t>=Statistics!B6</t>
  </si>
  <si>
    <t>نسبة اكتمال البيانات</t>
  </si>
  <si>
    <t>=Statistics!B7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</si>
</sst>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AB7F12"/>
      <sz val="14"/>
    </font>
    <font>
      <b/>
      <color rgb="1E7E1E"/>
      <sz val="14"/>
    </font>
    <font>
      <b/>
      <color rgb="B82424"/>
      <sz val="14"/>
    </font>
    <font>
      <b/>
      <color rgb="CC6600"/>
      <sz val="14"/>
    </font>
    <font>
      <b/>
      <color rgb="6B7280"/>
      <sz val="14"/>
    </font>
    <font>
      <b/>
      <color rgb="1E3A5F"/>
      <sz val="11"/>
    </font>
    <font>
      <b/>
      <color rgb="1E3A5F"/>
      <sz val="10"/>
    </font>
    <font>
      <sz val="12"/>
    </font>
    <font>
      <b/>
      <color rgb="1E3A5F"/>
      <sz val="12"/>
    </font>
    <font>
      <b/>
      <color rgb="1E3A5F"/>
      <sz val="18"/>
    </font>
    <font>
      <b/>
      <color rgb="1E7E1E"/>
      <sz val="12"/>
    </font>
    <font>
      <b/>
      <color rgb="1E7E1E"/>
      <sz val="18"/>
    </font>
    <font>
      <b/>
      <color rgb="0D9488"/>
      <sz val="12"/>
    </font>
    <font>
      <b/>
      <color rgb="B82424"/>
      <sz val="12"/>
    </font>
    <font>
      <b/>
      <color rgb="B82424"/>
      <sz val="18"/>
    </font>
    <font>
      <b/>
      <color rgb="AB7F12"/>
      <sz val="12"/>
    </font>
    <font>
      <b/>
      <color rgb="AB7F12"/>
      <sz val="18"/>
    </font>
    <font>
      <b/>
      <color rgb="CC6600"/>
      <sz val="12"/>
    </font>
    <font>
      <b/>
      <color rgb="CC6600"/>
      <sz val="18"/>
    </font>
    <font>
      <b/>
      <color rgb="6B7280"/>
      <sz val="12"/>
    </font>
    <font>
      <b/>
      <color rgb="6B7280"/>
      <sz val="18"/>
    </font>
  </fonts>
  <fills count="7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4F6F9"/>
      </patternFill>
    </fill>
    <fill>
      <patternFill patternType="solid">
        <fgColor rgb="FFFFFF"/>
      </patternFill>
    </fill>
    <fill>
      <patternFill patternType="solid">
        <fgColor rgb="EDF2F9"/>
      </patternFill>
    </fill>
    <fill>
      <patternFill patternType="solid">
        <fgColor rgb="FFF9E0"/>
      </patternFill>
    </fill>
  </fills>
  <borders count="2">
    <border>
      <left/>
      <right/>
      <top/>
      <bottom/>
      <diagonal/>
    </border>
    <border>
      <left style="thin">
        <color rgb="D0D5DD"/>
      </left>
      <right style="thin">
        <color rgb="D0D5DD"/>
      </right>
      <top style="thin">
        <color rgb="D0D5DD"/>
      </top>
      <bottom style="thin">
        <color rgb="D0D5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1">
    <cellStyle name="Normal" xfId="0" builtinId="0"/>
  </cellStyles>
  <dxfs count="15">
    <dxf>
      <font>
        <b/>
        <color rgb="1E7E1E"/>
      </font>
      <fill>
        <patternFill patternType="solid">
          <fgColor rgb="E4F4E4"/>
        </patternFill>
      </fill>
    </dxf>
    <dxf>
      <font>
        <b/>
        <color rgb="B82424"/>
      </font>
      <fill>
        <patternFill patternType="solid">
          <fgColor rgb="FBE4E4"/>
        </patternFill>
      </fill>
    </dxf>
    <dxf>
      <font>
        <b/>
        <color rgb="AB7F12"/>
      </font>
      <fill>
        <patternFill patternType="solid">
          <fgColor rgb="FEF7DA"/>
        </patternFill>
      </fill>
    </dxf>
    <dxf>
      <font>
        <b/>
        <color rgb="CC6600"/>
      </font>
      <fill>
        <patternFill patternType="solid">
          <fgColor rgb="FFF0E0"/>
        </patternFill>
      </fill>
    </dxf>
    <dxf>
      <font>
        <b/>
        <color rgb="6B7280"/>
      </font>
      <fill>
        <patternFill patternType="solid">
          <fgColor rgb="E8ECF0"/>
        </patternFill>
      </fill>
    </dxf>
    <dxf>
      <font>
        <b/>
        <color rgb="1E7E1E"/>
        <sz val="14"/>
      </font>
      <fill>
        <patternFill patternType="solid">
          <fgColor rgb="E4F4E4"/>
        </patternFill>
      </fill>
    </dxf>
    <dxf>
      <font>
        <b/>
        <color rgb="B82424"/>
        <sz val="14"/>
      </font>
      <fill>
        <patternFill patternType="solid">
          <fgColor rgb="FBE4E4"/>
        </patternFill>
      </fill>
    </dxf>
    <dxf>
      <font>
        <b/>
        <color rgb="1E7E1E"/>
        <sz val="14"/>
      </font>
      <fill>
        <patternFill patternType="solid">
          <fgColor rgb="E4F4E4"/>
        </patternFill>
      </fill>
    </dxf>
    <dxf>
      <font>
        <b/>
        <color rgb="B82424"/>
        <sz val="14"/>
      </font>
      <fill>
        <patternFill patternType="solid">
          <fgColor rgb="FBE4E4"/>
        </patternFill>
      </fill>
    </dxf>
    <dxf>
      <font>
        <b/>
        <color rgb="1E7E1E"/>
        <sz val="14"/>
      </font>
      <fill>
        <patternFill patternType="solid">
          <fgColor rgb="E4F4E4"/>
        </patternFill>
      </fill>
    </dxf>
    <dxf>
      <font>
        <b/>
        <color rgb="B82424"/>
        <sz val="14"/>
      </font>
      <fill>
        <patternFill patternType="solid">
          <fgColor rgb="FBE4E4"/>
        </patternFill>
      </fill>
    </dxf>
    <dxf>
      <font>
        <b/>
        <color rgb="1E7E1E"/>
        <sz val="14"/>
      </font>
      <fill>
        <patternFill patternType="solid">
          <fgColor rgb="E4F4E4"/>
        </patternFill>
      </fill>
    </dxf>
    <dxf>
      <font>
        <b/>
        <color rgb="B82424"/>
        <sz val="14"/>
      </font>
      <fill>
        <patternFill patternType="solid">
          <fgColor rgb="FBE4E4"/>
        </patternFill>
      </fill>
    </dxf>
    <dxf>
      <font>
        <b/>
        <color rgb="1E7E1E"/>
        <sz val="14"/>
      </font>
      <fill>
        <patternFill patternType="solid">
          <fgColor rgb="E4F4E4"/>
        </patternFill>
      </fill>
    </dxf>
    <dxf>
      <font>
        <b/>
        <color rgb="B82424"/>
        <sz val="14"/>
      </font>
      <fill>
        <patternFill patternType="solid">
          <fgColor rgb="FB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24" customWidth="1"/>
    <col min="5" max="5" width="18" customWidth="1"/>
    <col min="6" max="6" width="16" customWidth="1"/>
    <col min="7" max="7" width="18" customWidth="1"/>
    <col min="8" max="10" width="16" customWidth="1"/>
    <col min="11" max="13" width="18" customWidth="1"/>
    <col min="14" max="14" width="20" customWidth="1"/>
    <col min="15" max="15" width="14" customWidth="1"/>
    <col min="16" max="16" width="10" customWidth="1"/>
    <col min="17" max="17" width="14" customWidth="1"/>
    <col min="18" max="18" width="12" customWidth="1"/>
    <col min="19" max="20" width="20" customWidth="1"/>
    <col min="21" max="21" width="28" customWidth="1"/>
    <col min="22" max="22" width="26" customWidth="1"/>
    <col min="23" max="23" width="18" customWidth="1"/>
    <col min="24" max="24" width="20" customWidth="1"/>
    <col min="25" max="25" width="18" customWidth="1"/>
    <col min="26" max="26" width="26" customWidth="1"/>
  </cols>
  <sheetData>
    <row r="1" ht="32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 t="s">
        <v>26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26</v>
      </c>
      <c r="Z2" s="2" t="s">
        <v>26</v>
      </c>
    </row>
  </sheetData>
  <autoFilter ref="A1:Z1"/>
  <conditionalFormatting sqref="K2:K1048576">
    <cfRule type="expression" dxfId="0" priority="1">
      <formula>K2="مقبول"</formula>
    </cfRule>
  </conditionalFormatting>
  <conditionalFormatting sqref="K2:K1048576">
    <cfRule type="expression" dxfId="1" priority="2">
      <formula>K2="مرفوض"</formula>
    </cfRule>
  </conditionalFormatting>
  <conditionalFormatting sqref="K2:K1048576">
    <cfRule type="expression" dxfId="2" priority="3">
      <formula>K2="قيد المراجعة"</formula>
    </cfRule>
  </conditionalFormatting>
  <conditionalFormatting sqref="K2:K1048576">
    <cfRule type="expression" dxfId="3" priority="4">
      <formula>K2="ناقص مستندات"</formula>
    </cfRule>
  </conditionalFormatting>
  <conditionalFormatting sqref="K2:K1048576">
    <cfRule type="expression" dxfId="4" priority="5">
      <formula>K2="بانتظار التواصل"</formula>
    </cfRule>
  </conditionalFormatting>
  <dataValidations count="2">
    <dataValidation type="list" allowBlank="1" sqref="J2">
      <formula1>"أعزب,متزوج"</formula1>
    </dataValidation>
    <dataValidation type="list" allowBlank="1" sqref="K2">
      <formula1>"قيد المراجعة,مقبول,مرفوض,ناقص مستندات,بانتظار التواصل"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8952E"/>
  </sheetPr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</cols>
  <sheetData>
    <row r="1" ht="32" customHeight="1" spans="1:2" x14ac:dyDescent="0.25">
      <c r="A1" s="1" t="s">
        <v>27</v>
      </c>
      <c r="B1" s="1" t="s">
        <v>28</v>
      </c>
    </row>
    <row r="2" spans="1:2" x14ac:dyDescent="0.25">
      <c r="A2" s="2" t="s">
        <v>29</v>
      </c>
      <c r="B2" s="3" t="s">
        <v>30</v>
      </c>
    </row>
    <row r="3" spans="1:2" x14ac:dyDescent="0.25">
      <c r="A3" s="4" t="s">
        <v>31</v>
      </c>
      <c r="B3" s="5" t="s">
        <v>32</v>
      </c>
    </row>
    <row r="4" spans="1:2" x14ac:dyDescent="0.25">
      <c r="A4" s="2" t="s">
        <v>33</v>
      </c>
      <c r="B4" s="6" t="s">
        <v>34</v>
      </c>
    </row>
    <row r="5" spans="1:2" x14ac:dyDescent="0.25">
      <c r="A5" s="4" t="s">
        <v>35</v>
      </c>
      <c r="B5" s="7" t="s">
        <v>36</v>
      </c>
    </row>
    <row r="6" spans="1:2" x14ac:dyDescent="0.25">
      <c r="A6" s="2" t="s">
        <v>37</v>
      </c>
      <c r="B6" s="8" t="s">
        <v>38</v>
      </c>
    </row>
    <row r="7" spans="1:4" x14ac:dyDescent="0.25">
      <c r="A7" s="4" t="s">
        <v>39</v>
      </c>
      <c r="B7" s="4" t="s">
        <v>40</v>
      </c>
      <c r="D7" s="9" t="s">
        <v>41</v>
      </c>
    </row>
    <row r="8" spans="4:5" x14ac:dyDescent="0.25">
      <c r="D8" s="10" t="s">
        <v>5</v>
      </c>
      <c r="E8" s="10" t="s">
        <v>42</v>
      </c>
    </row>
    <row r="9" spans="1:4" x14ac:dyDescent="0.25">
      <c r="A9" s="4" t="s">
        <v>43</v>
      </c>
      <c r="D9">
        <f>QUERY(Applications!F2:F1048576,"select F,count(F) where F is not null group by F order by count(F) desc label F 'المحافظة', count(F) 'العدد'")</f>
      </c>
    </row>
    <row r="10" spans="1:2" x14ac:dyDescent="0.25">
      <c r="A10" s="2">
        <f>QUERY(Applications!D2:D1048576,"select D,count(D) where D is not null group by D order by count(D) desc label D 'المدرسة', count(D) 'العدد'")</f>
      </c>
      <c r="B10" s="2" t="s">
        <v>42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D5A8E"/>
  </sheetPr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24" customWidth="1"/>
    <col min="5" max="5" width="18" customWidth="1"/>
    <col min="6" max="6" width="16" customWidth="1"/>
    <col min="7" max="7" width="18" customWidth="1"/>
    <col min="8" max="10" width="16" customWidth="1"/>
    <col min="11" max="13" width="18" customWidth="1"/>
    <col min="14" max="14" width="20" customWidth="1"/>
    <col min="15" max="15" width="14" customWidth="1"/>
    <col min="16" max="16" width="10" customWidth="1"/>
    <col min="17" max="17" width="14" customWidth="1"/>
    <col min="18" max="18" width="12" customWidth="1"/>
    <col min="19" max="20" width="20" customWidth="1"/>
    <col min="21" max="21" width="28" customWidth="1"/>
    <col min="22" max="22" width="26" customWidth="1"/>
    <col min="23" max="23" width="18" customWidth="1"/>
    <col min="24" max="24" width="20" customWidth="1"/>
    <col min="25" max="25" width="18" customWidth="1"/>
    <col min="26" max="26" width="26" customWidth="1"/>
  </cols>
  <sheetData>
    <row r="1" ht="32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30" customHeight="1" spans="1:26" x14ac:dyDescent="0.25">
      <c r="A2" s="11" t="s">
        <v>44</v>
      </c>
      <c r="B2" s="12" t="s">
        <v>26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1" x14ac:dyDescent="0.25">
      <c r="A3">
        <f>IFERROR(FILTER(Applications!A:Z, (Applications!A:A=B2)+(Applications!B:B=B2)+(Applications!C:C=B2)), "ابحث بالرقم أو الاسم أو الكود في الخلية B2")</f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7E1E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7" width="18" customWidth="1"/>
  </cols>
  <sheetData>
    <row r="1" ht="32" customHeight="1" spans="1:7" x14ac:dyDescent="0.25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</sheetData>
  <autoFilter ref="A1:G1"/>
  <conditionalFormatting sqref="C2:C1048576">
    <cfRule type="expression" dxfId="5" priority="1">
      <formula>C2="✓"</formula>
    </cfRule>
    <cfRule type="expression" dxfId="6" priority="2">
      <formula>C2="✗"</formula>
    </cfRule>
  </conditionalFormatting>
  <conditionalFormatting sqref="D2:D1048576">
    <cfRule type="expression" dxfId="7" priority="3">
      <formula>D2="✓"</formula>
    </cfRule>
    <cfRule type="expression" dxfId="8" priority="4">
      <formula>D2="✗"</formula>
    </cfRule>
  </conditionalFormatting>
  <conditionalFormatting sqref="E2:E1048576">
    <cfRule type="expression" dxfId="9" priority="5">
      <formula>E2="✓"</formula>
    </cfRule>
    <cfRule type="expression" dxfId="10" priority="6">
      <formula>E2="✗"</formula>
    </cfRule>
  </conditionalFormatting>
  <conditionalFormatting sqref="F2:F1048576">
    <cfRule type="expression" dxfId="11" priority="7">
      <formula>F2="✓"</formula>
    </cfRule>
    <cfRule type="expression" dxfId="12" priority="8">
      <formula>F2="✗"</formula>
    </cfRule>
  </conditionalFormatting>
  <conditionalFormatting sqref="G2:G1048576">
    <cfRule type="expression" dxfId="13" priority="9">
      <formula>G2="✓"</formula>
    </cfRule>
    <cfRule type="expression" dxfId="14" priority="10">
      <formula>G2="✗"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3" customWidth="1"/>
    <col min="4" max="4" width="14" customWidth="1"/>
    <col min="5" max="5" width="18" customWidth="1"/>
    <col min="6" max="6" width="3" customWidth="1"/>
    <col min="7" max="7" width="22" customWidth="1"/>
    <col min="8" max="8" width="12" customWidth="1"/>
    <col min="9" max="9" width="3" customWidth="1"/>
    <col min="10" max="10" width="16" customWidth="1"/>
    <col min="11" max="11" width="12" customWidth="1"/>
    <col min="12" max="12" width="3" customWidth="1"/>
    <col min="13" max="14" width="14" customWidth="1"/>
  </cols>
  <sheetData>
    <row r="1" ht="32" customHeight="1" spans="1:14" x14ac:dyDescent="0.25">
      <c r="A1" s="1" t="s">
        <v>50</v>
      </c>
      <c r="B1" s="1" t="s">
        <v>28</v>
      </c>
      <c r="C1" s="1" t="s">
        <v>26</v>
      </c>
      <c r="D1" s="1" t="s">
        <v>51</v>
      </c>
      <c r="E1" s="1" t="s">
        <v>52</v>
      </c>
      <c r="F1" s="1" t="s">
        <v>26</v>
      </c>
      <c r="G1" s="1" t="s">
        <v>53</v>
      </c>
      <c r="H1" s="1" t="s">
        <v>42</v>
      </c>
      <c r="I1" s="1" t="s">
        <v>26</v>
      </c>
      <c r="J1" s="1" t="s">
        <v>5</v>
      </c>
      <c r="K1" s="1" t="s">
        <v>42</v>
      </c>
      <c r="L1" s="1" t="s">
        <v>26</v>
      </c>
      <c r="M1" s="1" t="s">
        <v>54</v>
      </c>
      <c r="N1" s="1" t="s">
        <v>55</v>
      </c>
    </row>
    <row r="2" spans="1:17" x14ac:dyDescent="0.25">
      <c r="A2" s="14" t="s">
        <v>56</v>
      </c>
      <c r="B2" s="15" t="s">
        <v>57</v>
      </c>
      <c r="D2" s="14" t="s">
        <v>58</v>
      </c>
      <c r="G2" s="10" t="s">
        <v>51</v>
      </c>
      <c r="H2" s="10" t="s">
        <v>52</v>
      </c>
      <c r="J2" s="10" t="s">
        <v>53</v>
      </c>
      <c r="K2" s="10" t="s">
        <v>42</v>
      </c>
      <c r="M2" s="10" t="s">
        <v>5</v>
      </c>
      <c r="N2" s="10" t="s">
        <v>42</v>
      </c>
      <c r="P2" s="10" t="s">
        <v>54</v>
      </c>
      <c r="Q2" s="10" t="s">
        <v>55</v>
      </c>
    </row>
    <row r="3" spans="1:17" x14ac:dyDescent="0.25">
      <c r="A3" s="16" t="s">
        <v>59</v>
      </c>
      <c r="B3" s="17" t="s">
        <v>60</v>
      </c>
      <c r="D3" s="18" t="s">
        <v>61</v>
      </c>
      <c r="E3" s="19">
        <f>=MAX(Applications!L2:L1048576)</f>
      </c>
      <c r="G3">
        <f>UNIQUE(Applications!L2:L1048576)</f>
      </c>
      <c r="H3">
        <f>IF(G3="","",COUNTIF(Applications!L2:L1048576,G3))</f>
      </c>
      <c r="J3">
        <f>Statistics!A9:A</f>
      </c>
      <c r="K3">
        <f>Statistics!B9:B</f>
      </c>
      <c r="M3">
        <f>Statistics!D9:D</f>
      </c>
      <c r="N3">
        <f>Statistics!E9:E</f>
      </c>
      <c r="P3">
        <f>SORT(UNIQUE(TEXT(Applications!L2:L1048576,"YYYY-ww")))</f>
      </c>
      <c r="Q3">
        <f>IF(P3="","",COUNTIF(TEXT(Applications!L2:L1048576,"YYYY-ww"),P3))</f>
      </c>
    </row>
    <row r="4" spans="1:5" x14ac:dyDescent="0.25">
      <c r="A4" s="20" t="s">
        <v>62</v>
      </c>
      <c r="B4" s="21" t="s">
        <v>63</v>
      </c>
      <c r="D4" s="18" t="s">
        <v>64</v>
      </c>
      <c r="E4" s="19">
        <f>=MIN(Applications!L2:L1048576)</f>
      </c>
    </row>
    <row r="5" spans="1:5" x14ac:dyDescent="0.25">
      <c r="A5" s="22" t="s">
        <v>65</v>
      </c>
      <c r="B5" s="23" t="s">
        <v>66</v>
      </c>
      <c r="D5" s="18" t="s">
        <v>67</v>
      </c>
      <c r="E5" s="19">
        <f>=IFERROR(ROUND(Statistics!B2/MAX(DAYS(MAX(Applications!L2:L1048576),MIN(Applications!L2:L1048576)),1),1),0)</f>
      </c>
    </row>
    <row r="6" spans="1:5" x14ac:dyDescent="0.25">
      <c r="A6" s="24" t="s">
        <v>68</v>
      </c>
      <c r="B6" s="25" t="s">
        <v>69</v>
      </c>
      <c r="D6" s="18" t="s">
        <v>70</v>
      </c>
      <c r="E6" s="19">
        <f>=IFERROR(ROUND(COUNTIF(Applications!A2:A1048576,"&lt;&gt;")/COUNTA(Applications!A2:A1048576)*100,1)&amp;"%","0%")</f>
      </c>
    </row>
    <row r="7" spans="1:2" x14ac:dyDescent="0.25">
      <c r="A7" s="26" t="s">
        <v>39</v>
      </c>
      <c r="B7" s="27" t="s">
        <v>71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Applications</vt:lpstr>
      <vt:lpstr>Statistics</vt:lpstr>
      <vt:lpstr>Search</vt:lpstr>
      <vt:lpstr>Documents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 Schools</dc:creator>
  <dc:title/>
  <dc:subject/>
  <dc:description/>
  <cp:keywords/>
  <cp:category/>
  <cp:lastModifiedBy>Unknown</cp:lastModifiedBy>
  <dcterms:created xsi:type="dcterms:W3CDTF">2026-06-29T10:58:42Z</dcterms:created>
  <dcterms:modified xsi:type="dcterms:W3CDTF">2026-06-29T10:58:42Z</dcterms:modified>
</cp:coreProperties>
</file>